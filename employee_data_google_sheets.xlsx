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ata" sheetId="1" r:id="rId5"/>
    <sheet state="visible" name="Dashboard" sheetId="2" r:id="rId6"/>
    <sheet state="visible" name="support" sheetId="3" r:id="rId7"/>
  </sheets>
  <definedNames>
    <definedName hidden="1" localSheetId="0" name="_xlnm._FilterDatabase">'Employee Data'!$A$1:$J$16</definedName>
  </definedNames>
  <calcPr/>
</workbook>
</file>

<file path=xl/sharedStrings.xml><?xml version="1.0" encoding="utf-8"?>
<sst xmlns="http://schemas.openxmlformats.org/spreadsheetml/2006/main" count="79" uniqueCount="47">
  <si>
    <t>Employee Name</t>
  </si>
  <si>
    <t>Department</t>
  </si>
  <si>
    <t>Job Role</t>
  </si>
  <si>
    <t>Joining Date</t>
  </si>
  <si>
    <t>Employment Type</t>
  </si>
  <si>
    <t>Attendance Rate</t>
  </si>
  <si>
    <t>Performance Score</t>
  </si>
  <si>
    <t>Training Hours</t>
  </si>
  <si>
    <t>Recruitment Cost</t>
  </si>
  <si>
    <t>Employee Satisfaction Score</t>
  </si>
  <si>
    <t>Rudra Haas</t>
  </si>
  <si>
    <t>Sales</t>
  </si>
  <si>
    <t>Sales Manager</t>
  </si>
  <si>
    <t>Full-time</t>
  </si>
  <si>
    <t>Jordan-Lee Sloa</t>
  </si>
  <si>
    <t>IT</t>
  </si>
  <si>
    <t>HR Specialist</t>
  </si>
  <si>
    <t>Monique Howell</t>
  </si>
  <si>
    <t>IT Analyst</t>
  </si>
  <si>
    <t>Hiba Tait</t>
  </si>
  <si>
    <t>Content Creator</t>
  </si>
  <si>
    <t>Contract</t>
  </si>
  <si>
    <t>Kayan Wynn</t>
  </si>
  <si>
    <t>Finance</t>
  </si>
  <si>
    <t>Accountant</t>
  </si>
  <si>
    <t>Myra McDonmm</t>
  </si>
  <si>
    <t>Support Specialist</t>
  </si>
  <si>
    <t>Kobi Hebert</t>
  </si>
  <si>
    <t>Sales Executive</t>
  </si>
  <si>
    <t>Leland Boyd</t>
  </si>
  <si>
    <t>System Administrator</t>
  </si>
  <si>
    <t>Tracey Doyle</t>
  </si>
  <si>
    <t>Social Media Manager</t>
  </si>
  <si>
    <t>Rhodri Schmitt</t>
  </si>
  <si>
    <t>Financial Analyst</t>
  </si>
  <si>
    <t>Wanda Caldwell</t>
  </si>
  <si>
    <t>HR</t>
  </si>
  <si>
    <t>Akash Sheppard</t>
  </si>
  <si>
    <t>Part-time</t>
  </si>
  <si>
    <t>Elvis Whitt</t>
  </si>
  <si>
    <t>Shola Buxton</t>
  </si>
  <si>
    <t>Aminah Powers</t>
  </si>
  <si>
    <t>Attendance %</t>
  </si>
  <si>
    <t>Performance Score (%)</t>
  </si>
  <si>
    <t xml:space="preserve">HR Efficiency Monitor Dashboard </t>
  </si>
  <si>
    <t>Total Training Hours</t>
  </si>
  <si>
    <t>Total Recruitment Cost 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</si>
</sst>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"/>
    <numFmt numFmtId="166" formatCode="&quot;$&quot;#,##0"/>
  </numFmts>
  <fonts count="11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434343"/>
      <name val="Merriweather"/>
    </font>
    <font/>
    <font>
      <sz val="24.0"/>
      <color rgb="FFFFFFFF"/>
      <name val="Merriweather"/>
    </font>
    <font>
      <b/>
      <sz val="12.0"/>
      <color rgb="FF434343"/>
      <name val="Calibri"/>
      <scheme val="minor"/>
    </font>
    <font>
      <b/>
      <sz val="12.0"/>
      <color rgb="FF434343"/>
      <name val="Merriweather"/>
    </font>
    <font>
      <b/>
      <sz val="45.0"/>
      <color theme="1"/>
      <name val="Arial"/>
    </font>
    <font>
      <b/>
      <sz val="3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5E5E2"/>
        <bgColor rgb="FFF5E5E2"/>
      </patternFill>
    </fill>
    <fill>
      <patternFill patternType="solid">
        <fgColor rgb="FFD0FFFF"/>
        <bgColor rgb="FFD0FFFF"/>
      </patternFill>
    </fill>
    <fill>
      <patternFill patternType="solid">
        <fgColor rgb="FFEFE9FF"/>
        <bgColor rgb="FFEFE9FF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top style="thin">
        <color rgb="FFCFE2F3"/>
      </top>
      <bottom style="thin">
        <color rgb="FFCFE2F3"/>
      </bottom>
    </border>
    <border>
      <right style="thin">
        <color rgb="FFCFE2F3"/>
      </right>
      <top style="thin">
        <color rgb="FFCFE2F3"/>
      </top>
      <bottom style="thin">
        <color rgb="FFCFE2F3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</border>
    <border>
      <right style="thick">
        <color rgb="FFFFFFFF"/>
      </right>
    </border>
    <border>
      <left style="thick">
        <color rgb="FFFFFFFF"/>
      </left>
      <bottom style="thick">
        <color rgb="FFFFFFFF"/>
      </bottom>
    </border>
    <border>
      <right style="thick">
        <color rgb="FFFFFFFF"/>
      </right>
      <bottom style="thick">
        <color rgb="FFFFFFF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/>
    </xf>
    <xf borderId="3" fillId="3" fontId="4" numFmtId="0" xfId="0" applyAlignment="1" applyBorder="1" applyFill="1" applyFont="1">
      <alignment horizontal="center" readingOrder="0"/>
    </xf>
    <xf borderId="4" fillId="0" fontId="5" numFmtId="0" xfId="0" applyBorder="1" applyFont="1"/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3" fillId="4" fontId="4" numFmtId="0" xfId="0" applyAlignment="1" applyBorder="1" applyFill="1" applyFont="1">
      <alignment horizontal="center" readingOrder="0"/>
    </xf>
    <xf borderId="3" fillId="5" fontId="4" numFmtId="0" xfId="0" applyAlignment="1" applyBorder="1" applyFill="1" applyFont="1">
      <alignment horizontal="center" readingOrder="0"/>
    </xf>
    <xf borderId="2" fillId="0" fontId="2" numFmtId="165" xfId="0" applyAlignment="1" applyBorder="1" applyFont="1" applyNumberFormat="1">
      <alignment horizontal="center"/>
    </xf>
    <xf borderId="0" fillId="6" fontId="6" numFmtId="0" xfId="0" applyAlignment="1" applyFill="1" applyFont="1">
      <alignment horizontal="center" readingOrder="0" vertical="center"/>
    </xf>
    <xf borderId="0" fillId="7" fontId="2" numFmtId="0" xfId="0" applyFill="1" applyFont="1"/>
    <xf borderId="0" fillId="7" fontId="7" numFmtId="0" xfId="0" applyAlignment="1" applyFill="1" applyFont="1">
      <alignment horizontal="center"/>
    </xf>
    <xf borderId="5" fillId="8" fontId="8" numFmtId="0" xfId="0" applyAlignment="1" applyBorder="1" applyFill="1" applyFont="1">
      <alignment horizontal="center" readingOrder="0"/>
    </xf>
    <xf borderId="6" fillId="0" fontId="5" numFmtId="0" xfId="0" applyBorder="1" applyFont="1"/>
    <xf borderId="5" fillId="9" fontId="8" numFmtId="0" xfId="0" applyAlignment="1" applyBorder="1" applyFill="1" applyFont="1">
      <alignment horizontal="center" readingOrder="0"/>
    </xf>
    <xf borderId="5" fillId="3" fontId="8" numFmtId="0" xfId="0" applyAlignment="1" applyBorder="1" applyFill="1" applyFont="1">
      <alignment horizontal="center" readingOrder="0"/>
    </xf>
    <xf borderId="5" fillId="4" fontId="8" numFmtId="0" xfId="0" applyAlignment="1" applyBorder="1" applyFill="1" applyFont="1">
      <alignment horizontal="center" readingOrder="0"/>
    </xf>
    <xf borderId="5" fillId="5" fontId="8" numFmtId="0" xfId="0" applyAlignment="1" applyBorder="1" applyFill="1" applyFont="1">
      <alignment horizontal="center" readingOrder="0"/>
    </xf>
    <xf borderId="7" fillId="8" fontId="9" numFmtId="0" xfId="0" applyAlignment="1" applyBorder="1" applyFill="1" applyFont="1">
      <alignment horizontal="center" vertical="center"/>
    </xf>
    <xf borderId="8" fillId="0" fontId="5" numFmtId="0" xfId="0" applyBorder="1" applyFont="1"/>
    <xf borderId="7" fillId="9" fontId="10" numFmtId="166" xfId="0" applyAlignment="1" applyBorder="1" applyFill="1" applyFont="1" applyNumberFormat="1">
      <alignment horizontal="center" vertical="center"/>
    </xf>
    <xf borderId="7" fillId="3" fontId="10" numFmtId="166" xfId="0" applyAlignment="1" applyBorder="1" applyFill="1" applyFont="1" applyNumberFormat="1">
      <alignment horizontal="center" vertical="center"/>
    </xf>
    <xf borderId="7" fillId="4" fontId="10" numFmtId="166" xfId="0" applyAlignment="1" applyBorder="1" applyFill="1" applyFont="1" applyNumberFormat="1">
      <alignment horizontal="center" vertical="center"/>
    </xf>
    <xf borderId="7" fillId="5" fontId="10" numFmtId="166" xfId="0" applyAlignment="1" applyBorder="1" applyFill="1" applyFont="1" applyNumberForma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0" fillId="7" fontId="2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5.png"/><Relationship Id="rId5" Type="http://schemas.openxmlformats.org/officeDocument/2006/relationships/image" Target="../media/Chart6.png"/><Relationship Id="rId6" Type="http://schemas.openxmlformats.org/officeDocument/2006/relationships/image" Target="../media/Chart7.png"/><Relationship Id="rId7" Type="http://schemas.openxmlformats.org/officeDocument/2006/relationships/image" Target="../media/Chart8.png"/><Relationship Id="rId8" Type="http://schemas.openxmlformats.org/officeDocument/2006/relationships/image" Target="../media/Chart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895350</xdr:colOff>
      <xdr:row>3</xdr:row>
      <xdr:rowOff>47625</xdr:rowOff>
    </xdr:from>
    <xdr:ext cx="1590675" cy="1428750"/>
    <xdr:pic>
      <xdr:nvPicPr>
        <xdr:cNvPr id="35850752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914400</xdr:colOff>
      <xdr:row>3</xdr:row>
      <xdr:rowOff>47625</xdr:rowOff>
    </xdr:from>
    <xdr:ext cx="1590675" cy="1428750"/>
    <xdr:pic>
      <xdr:nvPicPr>
        <xdr:cNvPr id="206008272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3</xdr:row>
      <xdr:rowOff>57150</xdr:rowOff>
    </xdr:from>
    <xdr:ext cx="1590675" cy="1428750"/>
    <xdr:pic>
      <xdr:nvPicPr>
        <xdr:cNvPr id="45126597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447675</xdr:colOff>
      <xdr:row>10</xdr:row>
      <xdr:rowOff>66675</xdr:rowOff>
    </xdr:from>
    <xdr:ext cx="4800600" cy="2657475"/>
    <xdr:pic>
      <xdr:nvPicPr>
        <xdr:cNvPr id="12982551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10</xdr:row>
      <xdr:rowOff>66675</xdr:rowOff>
    </xdr:from>
    <xdr:ext cx="6457950" cy="2657475"/>
    <xdr:pic>
      <xdr:nvPicPr>
        <xdr:cNvPr id="67603879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24</xdr:row>
      <xdr:rowOff>133350</xdr:rowOff>
    </xdr:from>
    <xdr:ext cx="8058150" cy="2657475"/>
    <xdr:pic>
      <xdr:nvPicPr>
        <xdr:cNvPr id="677865125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1390650</xdr:colOff>
      <xdr:row>24</xdr:row>
      <xdr:rowOff>133350</xdr:rowOff>
    </xdr:from>
    <xdr:ext cx="8715375" cy="2657475"/>
    <xdr:pic>
      <xdr:nvPicPr>
        <xdr:cNvPr id="2052320816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</xdr:row>
      <xdr:rowOff>66675</xdr:rowOff>
    </xdr:from>
    <xdr:ext cx="5429250" cy="2657475"/>
    <xdr:pic>
      <xdr:nvPicPr>
        <xdr:cNvPr id="1954688334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742950</xdr:colOff>
      <xdr:row>12</xdr:row>
      <xdr:rowOff>114300</xdr:rowOff>
    </xdr:from>
    <xdr:ext cx="3762375" cy="3533775"/>
    <xdr:pic>
      <xdr:nvPicPr>
        <xdr:cNvPr id="3938287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6.57"/>
    <col customWidth="1" min="3" max="3" width="22.0"/>
    <col customWidth="1" min="4" max="4" width="21.0"/>
    <col customWidth="1" min="5" max="5" width="20.43"/>
    <col customWidth="1" min="6" max="6" width="19.86"/>
    <col customWidth="1" min="7" max="7" width="21.43"/>
    <col customWidth="1" min="8" max="8" width="18.43"/>
    <col customWidth="1" min="9" max="9" width="20.0"/>
    <col customWidth="1" min="10" max="10" width="29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43845.0</v>
      </c>
      <c r="E2" s="2" t="s">
        <v>13</v>
      </c>
      <c r="F2" s="2">
        <v>95.0</v>
      </c>
      <c r="G2" s="2">
        <v>88.0</v>
      </c>
      <c r="H2" s="2">
        <v>15.0</v>
      </c>
      <c r="I2" s="2">
        <v>1000.0</v>
      </c>
      <c r="J2" s="2">
        <v>8.5</v>
      </c>
    </row>
    <row r="3">
      <c r="A3" s="2" t="s">
        <v>14</v>
      </c>
      <c r="B3" s="2" t="s">
        <v>15</v>
      </c>
      <c r="C3" s="2" t="s">
        <v>16</v>
      </c>
      <c r="D3" s="3">
        <v>44336.0</v>
      </c>
      <c r="E3" s="2" t="s">
        <v>13</v>
      </c>
      <c r="F3" s="2">
        <v>65.0</v>
      </c>
      <c r="G3" s="2">
        <v>92.0</v>
      </c>
      <c r="H3" s="2">
        <v>20.0</v>
      </c>
      <c r="I3" s="2">
        <v>800.0</v>
      </c>
      <c r="J3" s="2">
        <v>5.0</v>
      </c>
    </row>
    <row r="4">
      <c r="A4" s="2" t="s">
        <v>17</v>
      </c>
      <c r="B4" s="2" t="s">
        <v>15</v>
      </c>
      <c r="C4" s="2" t="s">
        <v>18</v>
      </c>
      <c r="D4" s="3">
        <v>43779.0</v>
      </c>
      <c r="E4" s="2" t="s">
        <v>13</v>
      </c>
      <c r="F4" s="2">
        <v>85.0</v>
      </c>
      <c r="G4" s="2">
        <v>75.0</v>
      </c>
      <c r="H4" s="2">
        <v>12.0</v>
      </c>
      <c r="I4" s="2">
        <v>1200.0</v>
      </c>
      <c r="J4" s="2">
        <v>5.0</v>
      </c>
    </row>
    <row r="5">
      <c r="A5" s="2" t="s">
        <v>19</v>
      </c>
      <c r="B5" s="2" t="s">
        <v>15</v>
      </c>
      <c r="C5" s="2" t="s">
        <v>20</v>
      </c>
      <c r="D5" s="3">
        <v>44743.0</v>
      </c>
      <c r="E5" s="2" t="s">
        <v>21</v>
      </c>
      <c r="F5" s="2">
        <v>60.0</v>
      </c>
      <c r="G5" s="2">
        <v>80.0</v>
      </c>
      <c r="H5" s="2">
        <v>10.0</v>
      </c>
      <c r="I5" s="2">
        <v>500.0</v>
      </c>
      <c r="J5" s="2">
        <v>2.0</v>
      </c>
    </row>
    <row r="6">
      <c r="A6" s="2" t="s">
        <v>22</v>
      </c>
      <c r="B6" s="2" t="s">
        <v>23</v>
      </c>
      <c r="C6" s="2" t="s">
        <v>24</v>
      </c>
      <c r="D6" s="3">
        <v>43908.0</v>
      </c>
      <c r="E6" s="2" t="s">
        <v>13</v>
      </c>
      <c r="F6" s="2">
        <v>92.0</v>
      </c>
      <c r="G6" s="2">
        <v>85.0</v>
      </c>
      <c r="H6" s="2">
        <v>18.0</v>
      </c>
      <c r="I6" s="2">
        <v>900.0</v>
      </c>
      <c r="J6" s="2">
        <v>8.0</v>
      </c>
    </row>
    <row r="7">
      <c r="A7" s="2" t="s">
        <v>25</v>
      </c>
      <c r="B7" s="2" t="s">
        <v>23</v>
      </c>
      <c r="C7" s="2" t="s">
        <v>26</v>
      </c>
      <c r="D7" s="3">
        <v>44474.0</v>
      </c>
      <c r="E7" s="2" t="s">
        <v>13</v>
      </c>
      <c r="F7" s="2">
        <v>96.0</v>
      </c>
      <c r="G7" s="2">
        <v>90.0</v>
      </c>
      <c r="H7" s="2">
        <v>14.0</v>
      </c>
      <c r="I7" s="2">
        <v>700.0</v>
      </c>
      <c r="J7" s="2">
        <v>3.0</v>
      </c>
    </row>
    <row r="8">
      <c r="A8" s="2" t="s">
        <v>27</v>
      </c>
      <c r="B8" s="2" t="s">
        <v>11</v>
      </c>
      <c r="C8" s="2" t="s">
        <v>28</v>
      </c>
      <c r="D8" s="3">
        <v>44086.0</v>
      </c>
      <c r="E8" s="2" t="s">
        <v>13</v>
      </c>
      <c r="F8" s="2">
        <v>45.0</v>
      </c>
      <c r="G8" s="2">
        <v>86.0</v>
      </c>
      <c r="H8" s="2">
        <v>18.0</v>
      </c>
      <c r="I8" s="2">
        <v>1200.0</v>
      </c>
      <c r="J8" s="2">
        <v>8.2</v>
      </c>
    </row>
    <row r="9">
      <c r="A9" s="2" t="s">
        <v>29</v>
      </c>
      <c r="B9" s="2" t="s">
        <v>15</v>
      </c>
      <c r="C9" s="2" t="s">
        <v>30</v>
      </c>
      <c r="D9" s="3">
        <v>43273.0</v>
      </c>
      <c r="E9" s="2" t="s">
        <v>13</v>
      </c>
      <c r="F9" s="2">
        <v>89.0</v>
      </c>
      <c r="G9" s="2">
        <v>80.0</v>
      </c>
      <c r="H9" s="2">
        <v>16.0</v>
      </c>
      <c r="I9" s="2">
        <v>1500.0</v>
      </c>
      <c r="J9" s="2">
        <v>7.8</v>
      </c>
    </row>
    <row r="10">
      <c r="A10" s="2" t="s">
        <v>31</v>
      </c>
      <c r="B10" s="2" t="s">
        <v>15</v>
      </c>
      <c r="C10" s="2" t="s">
        <v>32</v>
      </c>
      <c r="D10" s="3">
        <v>44269.0</v>
      </c>
      <c r="E10" s="2" t="s">
        <v>21</v>
      </c>
      <c r="F10" s="2">
        <v>87.0</v>
      </c>
      <c r="G10" s="2">
        <v>78.0</v>
      </c>
      <c r="H10" s="2">
        <v>12.0</v>
      </c>
      <c r="I10" s="2">
        <v>900.0</v>
      </c>
      <c r="J10" s="2">
        <v>8.0</v>
      </c>
    </row>
    <row r="11">
      <c r="A11" s="2" t="s">
        <v>33</v>
      </c>
      <c r="B11" s="2" t="s">
        <v>23</v>
      </c>
      <c r="C11" s="2" t="s">
        <v>34</v>
      </c>
      <c r="D11" s="3">
        <v>43687.0</v>
      </c>
      <c r="E11" s="2" t="s">
        <v>13</v>
      </c>
      <c r="F11" s="2">
        <v>93.0</v>
      </c>
      <c r="G11" s="2">
        <v>85.0</v>
      </c>
      <c r="H11" s="2">
        <v>20.0</v>
      </c>
      <c r="I11" s="2">
        <v>1100.0</v>
      </c>
      <c r="J11" s="2">
        <v>1.5</v>
      </c>
    </row>
    <row r="12">
      <c r="A12" s="2" t="s">
        <v>35</v>
      </c>
      <c r="B12" s="2" t="s">
        <v>36</v>
      </c>
      <c r="C12" s="2" t="s">
        <v>12</v>
      </c>
      <c r="D12" s="3">
        <v>44591.0</v>
      </c>
      <c r="E12" s="2" t="s">
        <v>13</v>
      </c>
      <c r="F12" s="2">
        <v>45.0</v>
      </c>
      <c r="G12" s="2">
        <v>88.0</v>
      </c>
      <c r="H12" s="2">
        <v>15.0</v>
      </c>
      <c r="I12" s="2">
        <v>800.0</v>
      </c>
      <c r="J12" s="2">
        <v>3.0</v>
      </c>
    </row>
    <row r="13">
      <c r="A13" s="2" t="s">
        <v>37</v>
      </c>
      <c r="B13" s="2" t="s">
        <v>15</v>
      </c>
      <c r="C13" s="2" t="s">
        <v>18</v>
      </c>
      <c r="D13" s="3">
        <v>43058.0</v>
      </c>
      <c r="E13" s="2" t="s">
        <v>38</v>
      </c>
      <c r="F13" s="2">
        <v>85.0</v>
      </c>
      <c r="G13" s="2">
        <v>76.0</v>
      </c>
      <c r="H13" s="2">
        <v>10.0</v>
      </c>
      <c r="I13" s="2">
        <v>1400.0</v>
      </c>
      <c r="J13" s="2">
        <v>7.5</v>
      </c>
    </row>
    <row r="14">
      <c r="A14" s="2" t="s">
        <v>39</v>
      </c>
      <c r="B14" s="2" t="s">
        <v>11</v>
      </c>
      <c r="C14" s="2" t="s">
        <v>12</v>
      </c>
      <c r="D14" s="3">
        <v>44687.0</v>
      </c>
      <c r="E14" s="2" t="s">
        <v>13</v>
      </c>
      <c r="F14" s="2">
        <v>57.0</v>
      </c>
      <c r="G14" s="2">
        <v>84.0</v>
      </c>
      <c r="H14" s="2">
        <v>18.0</v>
      </c>
      <c r="I14" s="2">
        <v>1300.0</v>
      </c>
      <c r="J14" s="4">
        <v>8.4</v>
      </c>
    </row>
    <row r="15">
      <c r="A15" s="2" t="s">
        <v>40</v>
      </c>
      <c r="B15" s="2" t="s">
        <v>11</v>
      </c>
      <c r="C15" s="2" t="s">
        <v>26</v>
      </c>
      <c r="D15" s="3">
        <v>44467.0</v>
      </c>
      <c r="E15" s="2" t="s">
        <v>21</v>
      </c>
      <c r="F15" s="2">
        <v>88.0</v>
      </c>
      <c r="G15" s="2">
        <v>79.0</v>
      </c>
      <c r="H15" s="2">
        <v>11.0</v>
      </c>
      <c r="I15" s="2">
        <v>600.0</v>
      </c>
      <c r="J15" s="4">
        <v>2.0</v>
      </c>
    </row>
    <row r="16">
      <c r="A16" s="2" t="s">
        <v>41</v>
      </c>
      <c r="B16" s="2" t="s">
        <v>11</v>
      </c>
      <c r="C16" s="2" t="s">
        <v>34</v>
      </c>
      <c r="D16" s="3">
        <v>43436.0</v>
      </c>
      <c r="E16" s="2" t="s">
        <v>13</v>
      </c>
      <c r="F16" s="2">
        <v>91.0</v>
      </c>
      <c r="G16" s="2">
        <v>82.0</v>
      </c>
      <c r="H16" s="2">
        <v>14.0</v>
      </c>
      <c r="I16" s="2">
        <v>1000.0</v>
      </c>
      <c r="J16" s="4">
        <v>8.6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4"/>
    </row>
    <row r="18">
      <c r="A18" s="2"/>
      <c r="B18" s="2"/>
      <c r="C18" s="2"/>
      <c r="D18" s="2"/>
      <c r="E18" s="2"/>
      <c r="F18" s="2"/>
      <c r="G18" s="2"/>
      <c r="H18" s="2"/>
      <c r="I18" s="2"/>
      <c r="J18" s="4"/>
    </row>
    <row r="19">
      <c r="A19" s="2"/>
      <c r="B19" s="2"/>
      <c r="C19" s="2"/>
      <c r="D19" s="2"/>
      <c r="E19" s="2"/>
      <c r="F19" s="2"/>
      <c r="G19" s="2"/>
      <c r="H19" s="2"/>
      <c r="I19" s="2"/>
      <c r="J19" s="4"/>
    </row>
    <row r="20">
      <c r="A20" s="2"/>
      <c r="B20" s="2"/>
      <c r="C20" s="2"/>
      <c r="D20" s="2"/>
      <c r="E20" s="2"/>
      <c r="F20" s="2"/>
      <c r="G20" s="2"/>
      <c r="H20" s="2"/>
      <c r="I20" s="2"/>
      <c r="J20" s="4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4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4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4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4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4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4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4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4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4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4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4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4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4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4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4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4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4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4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4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4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4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4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4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4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4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4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4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4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4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4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4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4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4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4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4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4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4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4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4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4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4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4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4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4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4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4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4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4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4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4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4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4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4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4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4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4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4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4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4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4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4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4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4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4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4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4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4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4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4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4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4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4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4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4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4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4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4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4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4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4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4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4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4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4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4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4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4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4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4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4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4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4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4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4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4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4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4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4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4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4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4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4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4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4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4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4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4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4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4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4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4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4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4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4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4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4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4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4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4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4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4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4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4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4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4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4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4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4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4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4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4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4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4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4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4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4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4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4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4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4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4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4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4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4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4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4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4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4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4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4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4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4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4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4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4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4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4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4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4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4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4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4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4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4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4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4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4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4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4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4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4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4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4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4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4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4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4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4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4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4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4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4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4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4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4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4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4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4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4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4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4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4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4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4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4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4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4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4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4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4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4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4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4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4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4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4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4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4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4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4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4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4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4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4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4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4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4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4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4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4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4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4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4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4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4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4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4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4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4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4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4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4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4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4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4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4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4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4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4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4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4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4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4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4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4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4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4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4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4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4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4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4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4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4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4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4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4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4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4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4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4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4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4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4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4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4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4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4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4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4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4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4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4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4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4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4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4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4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4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4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4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4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4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4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4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4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4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4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4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4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4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4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4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4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4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4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4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4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4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4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4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4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4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4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4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4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4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4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4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4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4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4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4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4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4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4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4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4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4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4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4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4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4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4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4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4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4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4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4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4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4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4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4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4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4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4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4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4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4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4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4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4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4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4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4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4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4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4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4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4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4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4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4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4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4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4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4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4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4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4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4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4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4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4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4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4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4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4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4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4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4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4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4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4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4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4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4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4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4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4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4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4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4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4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4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4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4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4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4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4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4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4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4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4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4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4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4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4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4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4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4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4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4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4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4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4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4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4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4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4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4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4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4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4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4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4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4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4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4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4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4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4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4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4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4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4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4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4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4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4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4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4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4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4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4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4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4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4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4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4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4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4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4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4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4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4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4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4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4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4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4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4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4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4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4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4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4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4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4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4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4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4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4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4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4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4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4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4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4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4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4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4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4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4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4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4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4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4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4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4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4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4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4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4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4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4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4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4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4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4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4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4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4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4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4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4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4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4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4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4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4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4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4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4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4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4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4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4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4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4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4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4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4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4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4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4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4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4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4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4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4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4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4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4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4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4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4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4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4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4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4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4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4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4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4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4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4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4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4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4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4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4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4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4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4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4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4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4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4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4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4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4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4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4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4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4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4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4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4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4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4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4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4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4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4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4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4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4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4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4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4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4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4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4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4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4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4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4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4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4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4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4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4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4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4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4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4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4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4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4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4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4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4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4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4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4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4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4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4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4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4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4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4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4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4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4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4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4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4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4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4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4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4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4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4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4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4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4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4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4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4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4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4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4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4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4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4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4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4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4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4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4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4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4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4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4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4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4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4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4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4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4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4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4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4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4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4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4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4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4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4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4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4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4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4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4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4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4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4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4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4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4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4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4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4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4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4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4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4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4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4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4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4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4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4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4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4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4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4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4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4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4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4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4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4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4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4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4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4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4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4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4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4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4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4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4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4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4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4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4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4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4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4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4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4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4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4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4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4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4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4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4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4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4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4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4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4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4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4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4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4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autoFilter ref="$A$1:$J$16"/>
  <dataValidations>
    <dataValidation type="list" allowBlank="1" showErrorMessage="1" sqref="C1:C1000">
      <formula1>"Accountant,Content Creator,Financial Analyst,HR Specialist,IT Analyst,Job Role,Sales Executive,Sales Manager,Social Media Manager,Support Specialist,System Administrator"</formula1>
    </dataValidation>
    <dataValidation type="list" allowBlank="1" showErrorMessage="1" sqref="E1:E1000">
      <formula1>"Contract,Employment Type,Full-time,Part-time"</formula1>
    </dataValidation>
    <dataValidation type="list" allowBlank="1" showErrorMessage="1" sqref="B1:B1000">
      <formula1>"Department,Finance,HR,IT,Sales"</formula1>
    </dataValidation>
    <dataValidation type="custom" allowBlank="1" showDropDown="1" sqref="D1:D1000">
      <formula1>OR(NOT(ISERROR(DATEVALUE(D1))), AND(ISNUMBER(D1), LEFT(CELL("format", D1))="D"))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11" width="25.14"/>
    <col customWidth="1" min="13" max="13" width="16.29"/>
  </cols>
  <sheetData>
    <row r="1" ht="42.0" customHeight="1">
      <c r="A1" s="12" t="s">
        <v>44</v>
      </c>
    </row>
    <row r="2" ht="5.2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ht="19.5" customHeight="1">
      <c r="A3" s="14"/>
      <c r="B3" s="15" t="s">
        <v>45</v>
      </c>
      <c r="C3" s="16"/>
      <c r="D3" s="17" t="s">
        <v>46</v>
      </c>
      <c r="E3" s="16"/>
      <c r="F3" s="18" t="s">
        <v>42</v>
      </c>
      <c r="G3" s="16"/>
      <c r="H3" s="19" t="s">
        <v>43</v>
      </c>
      <c r="I3" s="16"/>
      <c r="J3" s="20" t="s">
        <v>9</v>
      </c>
      <c r="K3" s="16"/>
      <c r="L3" s="13"/>
      <c r="M3" s="13"/>
    </row>
    <row r="4">
      <c r="A4" s="13"/>
      <c r="B4" s="21">
        <f>SUM('Employee Data'!H:H)</f>
        <v>223</v>
      </c>
      <c r="C4" s="22"/>
      <c r="D4" s="23">
        <f>SUM('Employee Data'!I:I)</f>
        <v>14900</v>
      </c>
      <c r="E4" s="22"/>
      <c r="F4" s="24"/>
      <c r="G4" s="22"/>
      <c r="H4" s="25"/>
      <c r="I4" s="22"/>
      <c r="J4" s="26"/>
      <c r="K4" s="22"/>
      <c r="L4" s="13"/>
      <c r="M4" s="13"/>
    </row>
    <row r="5">
      <c r="A5" s="13"/>
      <c r="B5" s="27"/>
      <c r="C5" s="28"/>
      <c r="D5" s="27"/>
      <c r="E5" s="28"/>
      <c r="F5" s="27"/>
      <c r="G5" s="28"/>
      <c r="H5" s="27"/>
      <c r="I5" s="28"/>
      <c r="J5" s="27"/>
      <c r="K5" s="28"/>
      <c r="L5" s="13"/>
      <c r="M5" s="13"/>
    </row>
    <row r="6">
      <c r="A6" s="13"/>
      <c r="B6" s="27"/>
      <c r="C6" s="28"/>
      <c r="D6" s="27"/>
      <c r="E6" s="28"/>
      <c r="F6" s="27"/>
      <c r="G6" s="28"/>
      <c r="H6" s="27"/>
      <c r="I6" s="28"/>
      <c r="J6" s="27"/>
      <c r="K6" s="28"/>
      <c r="L6" s="13"/>
      <c r="M6" s="13"/>
    </row>
    <row r="7">
      <c r="A7" s="13"/>
      <c r="B7" s="27"/>
      <c r="C7" s="28"/>
      <c r="D7" s="27"/>
      <c r="E7" s="28"/>
      <c r="F7" s="27"/>
      <c r="G7" s="28"/>
      <c r="H7" s="27"/>
      <c r="I7" s="28"/>
      <c r="J7" s="27"/>
      <c r="K7" s="28"/>
      <c r="L7" s="13"/>
      <c r="M7" s="13"/>
    </row>
    <row r="8">
      <c r="A8" s="13"/>
      <c r="B8" s="27"/>
      <c r="C8" s="28"/>
      <c r="D8" s="27"/>
      <c r="E8" s="28"/>
      <c r="F8" s="27"/>
      <c r="G8" s="28"/>
      <c r="H8" s="27"/>
      <c r="I8" s="28"/>
      <c r="J8" s="27"/>
      <c r="K8" s="28"/>
      <c r="L8" s="13"/>
      <c r="M8" s="13"/>
    </row>
    <row r="9" ht="29.25" customHeight="1">
      <c r="A9" s="13"/>
      <c r="B9" s="27"/>
      <c r="C9" s="28"/>
      <c r="D9" s="27"/>
      <c r="E9" s="28"/>
      <c r="F9" s="27"/>
      <c r="G9" s="28"/>
      <c r="H9" s="27"/>
      <c r="I9" s="28"/>
      <c r="J9" s="27"/>
      <c r="K9" s="28"/>
      <c r="L9" s="13"/>
      <c r="M9" s="13"/>
    </row>
    <row r="10" ht="14.25" customHeight="1">
      <c r="A10" s="13"/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13"/>
      <c r="M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>
      <c r="A18" s="13"/>
      <c r="B18" s="13"/>
      <c r="C18" s="13"/>
      <c r="E18" s="13"/>
      <c r="F18" s="13"/>
      <c r="G18" s="13"/>
      <c r="H18" s="13"/>
      <c r="I18" s="13"/>
      <c r="J18" s="13"/>
      <c r="K18" s="13"/>
      <c r="L18" s="13"/>
      <c r="M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>
      <c r="A20" s="13"/>
      <c r="B20" s="13"/>
      <c r="C20" s="13"/>
      <c r="D20" s="13"/>
      <c r="E20" s="13"/>
      <c r="F20" s="13"/>
      <c r="G20" s="13"/>
      <c r="H20" s="31"/>
      <c r="I20" s="13"/>
      <c r="J20" s="13"/>
      <c r="K20" s="13"/>
      <c r="L20" s="13"/>
      <c r="M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</sheetData>
  <mergeCells count="11">
    <mergeCell ref="D4:E10"/>
    <mergeCell ref="F4:G10"/>
    <mergeCell ref="H4:I10"/>
    <mergeCell ref="J4:K10"/>
    <mergeCell ref="A1:M1"/>
    <mergeCell ref="B3:C3"/>
    <mergeCell ref="D3:E3"/>
    <mergeCell ref="F3:G3"/>
    <mergeCell ref="H3:I3"/>
    <mergeCell ref="J3:K3"/>
    <mergeCell ref="B4:C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9.14"/>
  </cols>
  <sheetData>
    <row r="9">
      <c r="B9" s="5" t="s">
        <v>42</v>
      </c>
      <c r="C9" s="6"/>
      <c r="D9" s="7">
        <f>AVERAGE('Employee Data'!F:F)</f>
        <v>78.2</v>
      </c>
    </row>
    <row r="10">
      <c r="D10" s="8"/>
    </row>
    <row r="11">
      <c r="B11" s="9" t="s">
        <v>43</v>
      </c>
      <c r="C11" s="6"/>
      <c r="D11" s="2">
        <f>AVERAGE('Employee Data'!G:G)</f>
        <v>83.2</v>
      </c>
    </row>
    <row r="12">
      <c r="D12" s="8"/>
    </row>
    <row r="13">
      <c r="B13" s="10" t="s">
        <v>9</v>
      </c>
      <c r="C13" s="6"/>
      <c r="D13" s="11">
        <f>AVERAGE('Employee Data'!J:J)</f>
        <v>5.766666667</v>
      </c>
    </row>
  </sheetData>
  <mergeCells count="3">
    <mergeCell ref="B9:C9"/>
    <mergeCell ref="B11:C11"/>
    <mergeCell ref="B13:C13"/>
  </mergeCells>
  <drawing r:id="rId1"/>
</worksheet>
</file>